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benem\Desktop\ISM\Thesis\Data\Clustering\"/>
    </mc:Choice>
  </mc:AlternateContent>
  <xr:revisionPtr revIDLastSave="0" documentId="8_{3F47A993-30B4-44A7-89FF-E084A32D0EFC}" xr6:coauthVersionLast="47" xr6:coauthVersionMax="47" xr10:uidLastSave="{00000000-0000-0000-0000-000000000000}"/>
  <bookViews>
    <workbookView xWindow="-108" yWindow="-108" windowWidth="23256" windowHeight="12456" xr2:uid="{798C15BF-999D-42ED-B58E-11DE4EC52EAA}"/>
  </bookViews>
  <sheets>
    <sheet name="Raw_Data" sheetId="1" r:id="rId1"/>
    <sheet name="Sources" sheetId="2" r:id="rId2"/>
  </sheets>
  <externalReferences>
    <externalReference r:id="rId3"/>
    <externalReference r:id="rId4"/>
    <externalReference r:id="rId5"/>
  </externalReferenc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1" l="1"/>
  <c r="D4" i="1"/>
  <c r="D5" i="1"/>
  <c r="D6" i="1"/>
  <c r="D7" i="1"/>
  <c r="D8" i="1"/>
  <c r="D9" i="1"/>
  <c r="D11" i="1"/>
  <c r="D12" i="1"/>
  <c r="D13" i="1"/>
  <c r="D14" i="1"/>
  <c r="D15" i="1"/>
  <c r="D16" i="1"/>
  <c r="D17" i="1"/>
  <c r="D2" i="1"/>
  <c r="C3" i="1"/>
  <c r="C4" i="1"/>
  <c r="C5" i="1"/>
  <c r="C6" i="1"/>
  <c r="C7" i="1"/>
  <c r="C8" i="1"/>
  <c r="C9" i="1"/>
  <c r="C11" i="1"/>
  <c r="C12" i="1"/>
  <c r="C13" i="1"/>
  <c r="C14" i="1"/>
  <c r="C15" i="1"/>
  <c r="C16" i="1"/>
  <c r="C17" i="1"/>
  <c r="C2" i="1"/>
  <c r="V3" i="1"/>
  <c r="V4" i="1"/>
  <c r="V5" i="1"/>
  <c r="V6" i="1"/>
  <c r="V7" i="1"/>
  <c r="V8" i="1"/>
  <c r="V9" i="1"/>
  <c r="V10" i="1"/>
  <c r="V11" i="1"/>
  <c r="V12" i="1"/>
  <c r="V13" i="1"/>
  <c r="V14" i="1"/>
  <c r="V15" i="1"/>
  <c r="V16" i="1"/>
  <c r="V17" i="1"/>
  <c r="V2" i="1"/>
  <c r="F3" i="1"/>
  <c r="F4" i="1"/>
  <c r="F5" i="1"/>
  <c r="F6" i="1"/>
  <c r="F7" i="1"/>
  <c r="F8" i="1"/>
  <c r="F9" i="1"/>
  <c r="F10" i="1"/>
  <c r="F11" i="1"/>
  <c r="F12" i="1"/>
  <c r="F13" i="1"/>
  <c r="F14" i="1"/>
  <c r="F15" i="1"/>
  <c r="F16" i="1"/>
  <c r="F17" i="1"/>
  <c r="F2" i="1"/>
  <c r="H3" i="1"/>
  <c r="H4" i="1"/>
  <c r="H5" i="1"/>
  <c r="H6" i="1"/>
  <c r="H7" i="1"/>
  <c r="H8" i="1"/>
  <c r="H9" i="1"/>
  <c r="H10" i="1"/>
  <c r="H11" i="1"/>
  <c r="H12" i="1"/>
  <c r="H13" i="1"/>
  <c r="H14" i="1"/>
  <c r="H15" i="1"/>
  <c r="H16" i="1"/>
  <c r="H17" i="1"/>
  <c r="H2" i="1"/>
</calcChain>
</file>

<file path=xl/sharedStrings.xml><?xml version="1.0" encoding="utf-8"?>
<sst xmlns="http://schemas.openxmlformats.org/spreadsheetml/2006/main" count="121" uniqueCount="99">
  <si>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</si>
  <si>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</si>
  <si>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</si>
  <si>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</si>
  <si>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</si>
  <si>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</si>
  <si>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</si>
  <si>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</si>
  <si>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</si>
  <si>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</si>
  <si>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</si>
  <si>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</si>
  <si>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</si>
  <si>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</si>
  <si>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</si>
  <si>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</si>
  <si>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Population</t>
  </si>
  <si>
    <t>State</t>
  </si>
  <si>
    <t>Land Area</t>
  </si>
  <si>
    <t xml:space="preserve">GDP / Capita </t>
  </si>
  <si>
    <t>Land Area (Km2)</t>
  </si>
  <si>
    <t>Feature</t>
  </si>
  <si>
    <t>Description</t>
  </si>
  <si>
    <t>Source</t>
  </si>
  <si>
    <t xml:space="preserve">Population </t>
  </si>
  <si>
    <t>https://www.destatis.de/EN/Themes/Society-Environment/Population/Current-Population/Tables/population-by-laender.html</t>
  </si>
  <si>
    <t>https://www.deutschland.de/en/topic/politics/germany-europe/federal-states</t>
  </si>
  <si>
    <t xml:space="preserve">GDP/Capita </t>
  </si>
  <si>
    <t>Migration</t>
  </si>
  <si>
    <t>https://www-genesis.destatis.de/datenbank/online/statistic/12711/table/12711-0020/table-toolbar/search/s/bWlncmF0aW9u</t>
  </si>
  <si>
    <t>Net Migration</t>
  </si>
  <si>
    <t>Migration Rate</t>
  </si>
  <si>
    <t>Population Density</t>
  </si>
  <si>
    <t>Population Density (per Km2)</t>
  </si>
  <si>
    <t>Capital</t>
  </si>
  <si>
    <t>Stuttgart</t>
  </si>
  <si>
    <t>Munich</t>
  </si>
  <si>
    <t>Potsdam</t>
  </si>
  <si>
    <t>Wiesbaden</t>
  </si>
  <si>
    <t>Schwerin</t>
  </si>
  <si>
    <t>Hannover</t>
  </si>
  <si>
    <t>Düsseldorf</t>
  </si>
  <si>
    <t>Mainz</t>
  </si>
  <si>
    <t>Saarbrucken</t>
  </si>
  <si>
    <t>Dresden</t>
  </si>
  <si>
    <t>Magdeburgh</t>
  </si>
  <si>
    <t>Kiel</t>
  </si>
  <si>
    <t>Erfurt</t>
  </si>
  <si>
    <t>Local Purchasing Power Index (Capital)</t>
  </si>
  <si>
    <t>N/A</t>
  </si>
  <si>
    <t>Average Monthly Salary After Tax (Capital) Euros</t>
  </si>
  <si>
    <t>Average Monthly Salary After Tax</t>
  </si>
  <si>
    <t>Local Puchasing power Index</t>
  </si>
  <si>
    <t>Pollution Index</t>
  </si>
  <si>
    <t>Pollution index (Capital)</t>
  </si>
  <si>
    <t>Traffic Index</t>
  </si>
  <si>
    <t>Traffic Index (Capital)</t>
  </si>
  <si>
    <t>CO2 Emmission index (Capital)</t>
  </si>
  <si>
    <t>CO2 Emision Index</t>
  </si>
  <si>
    <t>Health Care Index</t>
  </si>
  <si>
    <t>https://www.numbeo.com/health-care/</t>
  </si>
  <si>
    <t>estimates the overall quality of a healthcare system by evaluating key factors such as medical professionals, equipment, staff, doctors, and costs. It provides an assessment of the healthcare infrastructure, services, and resources available in a specific location.</t>
  </si>
  <si>
    <t>https://www.numbeo.com/traffic/</t>
  </si>
  <si>
    <t>The Pollution Index estimates perceived overall pollution levels in cities worldwide, based on surveys regarding:
Air and Water Pollution
Garbage Disposal and Cleanliness
Noise and Light Pollution
Availability of Green Spaces
Overall Pollution Comfort</t>
  </si>
  <si>
    <r>
      <t>estimates CO</t>
    </r>
    <r>
      <rPr>
        <vertAlign val="subscript"/>
        <sz val="11"/>
        <color rgb="FF000000"/>
        <rFont val="Calibri"/>
        <family val="2"/>
        <scheme val="minor"/>
      </rPr>
      <t>2</t>
    </r>
    <r>
      <rPr>
        <sz val="11"/>
        <color rgb="FF000000"/>
        <rFont val="Calibri"/>
        <family val="2"/>
        <scheme val="minor"/>
      </rPr>
      <t> emissions attributable to daily commute by passenger, measured in grams for the round trip. To calculate an average CO</t>
    </r>
    <r>
      <rPr>
        <vertAlign val="subscript"/>
        <sz val="11"/>
        <color rgb="FF000000"/>
        <rFont val="Calibri"/>
        <family val="2"/>
        <scheme val="minor"/>
      </rPr>
      <t>2</t>
    </r>
    <r>
      <rPr>
        <sz val="11"/>
        <color rgb="FF000000"/>
        <rFont val="Calibri"/>
        <family val="2"/>
        <scheme val="minor"/>
      </rPr>
      <t> emission in grams for one-way commute, divide this value by 2.</t>
    </r>
  </si>
  <si>
    <r>
      <t>Is a composite measure that considers factors such as commute time, dissatisfaction with time spent in traffic, CO</t>
    </r>
    <r>
      <rPr>
        <vertAlign val="subscript"/>
        <sz val="11"/>
        <color rgb="FF000000"/>
        <rFont val="Arial"/>
        <family val="2"/>
      </rPr>
      <t>2</t>
    </r>
    <r>
      <rPr>
        <sz val="11"/>
        <color rgb="FF000000"/>
        <rFont val="Calibri"/>
        <family val="2"/>
        <scheme val="minor"/>
      </rPr>
      <t> emissions, and overall traffic system inefficiencies. It provides insights into the overall traffic conditions in a city.</t>
    </r>
  </si>
  <si>
    <t>https://www.numbeo.com/pollution/</t>
  </si>
  <si>
    <t>estimates the overall level of crime in a city or country. It's categorized as follows:
Very Low: below 20
Low: 20-40
Moderate: 40-60
High: 60-80
Very High: above 80</t>
  </si>
  <si>
    <t>https://www.numbeo.com/crime/</t>
  </si>
  <si>
    <t>Crime Index</t>
  </si>
  <si>
    <t>Safety Index</t>
  </si>
  <si>
    <r>
      <t>Safety index</t>
    </r>
    <r>
      <rPr>
        <sz val="11"/>
        <color rgb="FF000000"/>
        <rFont val="Calibri"/>
        <family val="2"/>
        <scheme val="minor"/>
      </rPr>
      <t> is essentially the inverse of the Crime Index. A city with a high Safety Index is considered very safe.</t>
    </r>
    <r>
      <rPr>
        <sz val="11"/>
        <color theme="1"/>
        <rFont val="Calibri"/>
        <family val="2"/>
        <scheme val="minor"/>
      </rPr>
      <t xml:space="preserve">
The Crime Index takes into account survey responses about:
General perception of crime levels
Perceived safety during daylight and nighttime
Concerns about specific crimes (mugging, robbery, car theft, physical attacks, public harassment, and bias-motivated incidents)
Property crime severity (burglary, theft, vandalism)
Violent crime severity (assault, homicide, sexual offenses)</t>
    </r>
  </si>
  <si>
    <t>Education Attainment Level</t>
  </si>
  <si>
    <t>https://ec.europa.eu/eurostat/databrowser/view/edat_lfse_04__custom_16318646/default/table?lang=en</t>
  </si>
  <si>
    <t>% of Population Attainend tertiary education (25-65 years)</t>
  </si>
  <si>
    <t xml:space="preserve">Percentage of population that has attained tertiary education (level 5-8) between the age group from 25-65 years </t>
  </si>
  <si>
    <t>https://www.numbeo.com/property-investment/</t>
  </si>
  <si>
    <t>Price to Income ratio</t>
  </si>
  <si>
    <t>is a fundamental measure for apartment purchase affordability, where a lower ratio indicates better affordability. It is typically calculated as the ratio of median apartment prices to median familial disposable income, expressed as years of income (although variations are used also elsewhere). Our formula assumes and uses:
net disposable family income is 1.5 * the average net salary (50% is the assumed percentage of women in the workforce)
median apartment size is 90 square meters
price per square meter represents the average of prices in the city center and in areas outside the city center</t>
  </si>
  <si>
    <t>Price to income ratio (Capital)</t>
  </si>
  <si>
    <t>Cost of Living Index exl. Rent (Capital)</t>
  </si>
  <si>
    <t>This index measures the relative prices of consumer goods and services—including groceries, dining, transportation, and utilities—but excludes housing costs like rent or mortgage payments. For example, a city with a Cost of Living Index of 120 suggests that everyday expenses are 20% higher than in NYC, excluding rent.​</t>
  </si>
  <si>
    <t>https://de.numbeo.com/lebenshaltungskosten/stadt/</t>
  </si>
  <si>
    <t>Cost of Living (Excluding Rent)</t>
  </si>
  <si>
    <t>field gives an idea of how many goods and services are affordable with the average income in the city. If the local purchasing power is 40, this means that the inhabitants of the city earn on average 60% less of their average income. Goods and services can afford as a resident of New York on a New York average income.</t>
  </si>
  <si>
    <t>Average mothly salary earned by an individual after paying the taxes</t>
  </si>
  <si>
    <t>GDP per capita for a state is the total economic output (Gross Domestic Product) produced within that state in a given year, divided by the population of that state.
It reflects the average economic productivity and income level per person in that state, and is commonly used to compare the economic performance and standard of living across regions.</t>
  </si>
  <si>
    <t>total surface area of land (in square kilometers, km²) that lies within the administrative boundaries of that German federal state (Bundesland), excluding lakes, rivers, and inland water bodies.</t>
  </si>
  <si>
    <t>Migration refers to the movement of people into (immigration) or out of (emigration) a region — over a specific period (here 2023).</t>
  </si>
  <si>
    <r>
      <t xml:space="preserve">The </t>
    </r>
    <r>
      <rPr>
        <b/>
        <sz val="11"/>
        <color theme="1"/>
        <rFont val="Calibri"/>
        <family val="2"/>
        <scheme val="minor"/>
      </rPr>
      <t>migration rate</t>
    </r>
    <r>
      <rPr>
        <sz val="11"/>
        <color theme="1"/>
        <rFont val="Calibri"/>
        <family val="2"/>
        <scheme val="minor"/>
      </rPr>
      <t xml:space="preserve"> measures the </t>
    </r>
    <r>
      <rPr>
        <b/>
        <sz val="11"/>
        <color theme="1"/>
        <rFont val="Calibri"/>
        <family val="2"/>
        <scheme val="minor"/>
      </rPr>
      <t>net migration</t>
    </r>
    <r>
      <rPr>
        <sz val="11"/>
        <color theme="1"/>
        <rFont val="Calibri"/>
        <family val="2"/>
        <scheme val="minor"/>
      </rPr>
      <t xml:space="preserve"> (immigrants minus emigrants) as a proportion of the population — typically </t>
    </r>
    <r>
      <rPr>
        <b/>
        <sz val="11"/>
        <color theme="1"/>
        <rFont val="Calibri"/>
        <family val="2"/>
        <scheme val="minor"/>
      </rPr>
      <t>per 1,000 inhabitants</t>
    </r>
    <r>
      <rPr>
        <sz val="11"/>
        <color theme="1"/>
        <rFont val="Calibri"/>
        <family val="2"/>
        <scheme val="minor"/>
      </rPr>
      <t>.</t>
    </r>
  </si>
  <si>
    <r>
      <t>Population</t>
    </r>
    <r>
      <rPr>
        <sz val="11"/>
        <color theme="1"/>
        <rFont val="Calibri"/>
        <family val="2"/>
        <scheme val="minor"/>
      </rPr>
      <t xml:space="preserve"> refers to the </t>
    </r>
    <r>
      <rPr>
        <b/>
        <sz val="11"/>
        <color theme="1"/>
        <rFont val="Calibri"/>
        <family val="2"/>
        <scheme val="minor"/>
      </rPr>
      <t>total number of people</t>
    </r>
    <r>
      <rPr>
        <sz val="11"/>
        <color theme="1"/>
        <rFont val="Calibri"/>
        <family val="2"/>
        <scheme val="minor"/>
      </rPr>
      <t xml:space="preserve"> living in a particular region — in </t>
    </r>
    <r>
      <rPr>
        <b/>
        <sz val="11"/>
        <color theme="1"/>
        <rFont val="Calibri"/>
        <family val="2"/>
        <scheme val="minor"/>
      </rPr>
      <t>each of the 16 German states (Bundesländer)</t>
    </r>
    <r>
      <rPr>
        <sz val="11"/>
        <color theme="1"/>
        <rFont val="Calibri"/>
        <family val="2"/>
        <scheme val="minor"/>
      </rPr>
      <t xml:space="preserve"> — as of 2023</t>
    </r>
  </si>
  <si>
    <t xml:space="preserve">Population Density measures how many people live per unit area of land </t>
  </si>
  <si>
    <t>calculated using the formula (Total Population/Land Area km2)</t>
  </si>
  <si>
    <t>calculated using the formula [(migration balance/ population)*1000]</t>
  </si>
  <si>
    <t>Urban Population</t>
  </si>
  <si>
    <t>Urban Areas (Germany): Urban Areas in States - Population Statistics, Charts and Map</t>
  </si>
  <si>
    <t>The population of all urban areas in Germany with more than 15,000 inhabitants.</t>
  </si>
  <si>
    <t xml:space="preserve">Latitude </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</si>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</sst>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b/>
      <sz val="10"/>
      <color indexed="8"/>
      <name val="Calibri"/>
      <family val="2"/>
      <scheme val="minor"/>
    </font>
    <font>
      <sz val="14"/>
      <color rgb="FF000000"/>
      <name val="Arial"/>
      <family val="2"/>
    </font>
    <font>
      <vertAlign val="subscript"/>
      <sz val="11"/>
      <color rgb="FF000000"/>
      <name val="Arial"/>
      <family val="2"/>
    </font>
    <font>
      <sz val="11"/>
      <color rgb="FF000000"/>
      <name val="Calibri"/>
      <family val="2"/>
      <scheme val="minor"/>
    </font>
    <font>
      <vertAlign val="subscript"/>
      <sz val="11"/>
      <color rgb="FF000000"/>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1" xfId="0" applyBorder="1" applyAlignment="1">
      <alignment horizontal="center"/>
    </xf>
    <xf numFmtId="0" fontId="0" fillId="0" borderId="1" xfId="0" applyBorder="1" applyAlignment="1">
      <alignment horizontal="center" vertical="top"/>
    </xf>
    <xf numFmtId="0" fontId="2" fillId="0" borderId="0" xfId="1"/>
    <xf numFmtId="49" fontId="3" fillId="0" borderId="2" xfId="0" applyNumberFormat="1" applyFont="1" applyBorder="1" applyAlignment="1">
      <alignment horizontal="center"/>
    </xf>
    <xf numFmtId="0" fontId="4" fillId="0" borderId="1" xfId="0" applyFont="1" applyBorder="1" applyAlignment="1">
      <alignment horizontal="center" wrapText="1"/>
    </xf>
    <xf numFmtId="0" fontId="1" fillId="0" borderId="1" xfId="0" applyFont="1" applyBorder="1" applyAlignment="1">
      <alignment horizontal="center" vertical="top" wrapText="1"/>
    </xf>
    <xf numFmtId="2" fontId="0" fillId="0" borderId="1" xfId="0" applyNumberFormat="1" applyBorder="1" applyAlignment="1">
      <alignment horizontal="center"/>
    </xf>
    <xf numFmtId="0" fontId="0" fillId="0" borderId="3" xfId="0" applyBorder="1" applyAlignment="1">
      <alignment horizontal="center"/>
    </xf>
    <xf numFmtId="0" fontId="1" fillId="0" borderId="3" xfId="0" applyFont="1" applyBorder="1" applyAlignment="1">
      <alignment horizontal="center" vertical="top" wrapText="1"/>
    </xf>
    <xf numFmtId="0" fontId="5" fillId="0" borderId="0" xfId="0" applyFont="1" applyAlignment="1">
      <alignment horizontal="left" vertical="center" wrapText="1" indent="1"/>
    </xf>
    <xf numFmtId="0" fontId="0" fillId="0" borderId="0" xfId="0"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enem\Desktop\ISM\Thesis\Data\Lat%20and%20Long%20State.xlsx" TargetMode="External"/><Relationship Id="rId1" Type="http://schemas.openxmlformats.org/officeDocument/2006/relationships/externalLinkPath" Target="/Users/benem/Desktop/ISM/Thesis/Data/Lat%20and%20Long%20Stat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benem\Desktop\ISM\Thesis\Data\Clustering\Migration_Balance.xlsx" TargetMode="External"/><Relationship Id="rId1" Type="http://schemas.openxmlformats.org/officeDocument/2006/relationships/externalLinkPath" Target="Migration_Balanc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benem\Desktop\ISM\Thesis\Data\Clustering\Education%20Attianment%20level.xlsx" TargetMode="External"/><Relationship Id="rId1" Type="http://schemas.openxmlformats.org/officeDocument/2006/relationships/externalLinkPath" Target="Education%20Attianment%20lev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Name</v>
          </cell>
          <cell r="B1" t="str">
            <v>Latitude</v>
          </cell>
          <cell r="C1" t="str">
            <v>Longitude</v>
          </cell>
        </row>
        <row r="2">
          <cell r="A2" t="str">
            <v>Baden-Württemberg</v>
          </cell>
          <cell r="B2">
            <v>48.5908945997937</v>
          </cell>
          <cell r="C2">
            <v>9.0399498000000005</v>
          </cell>
        </row>
        <row r="3">
          <cell r="A3" t="str">
            <v>Bayern</v>
          </cell>
          <cell r="B3">
            <v>48.946756199705497</v>
          </cell>
          <cell r="C3">
            <v>11.4038717</v>
          </cell>
        </row>
        <row r="4">
          <cell r="A4" t="str">
            <v>Berlin</v>
          </cell>
          <cell r="B4">
            <v>52.501521699088002</v>
          </cell>
          <cell r="C4">
            <v>13.4025497999999</v>
          </cell>
        </row>
        <row r="5">
          <cell r="A5" t="str">
            <v>Brandenburg</v>
          </cell>
          <cell r="B5">
            <v>52.845549199084601</v>
          </cell>
          <cell r="C5">
            <v>13.2461295999999</v>
          </cell>
        </row>
        <row r="6">
          <cell r="A6" t="str">
            <v>Bremen</v>
          </cell>
          <cell r="B6">
            <v>53.144868999093603</v>
          </cell>
          <cell r="C6">
            <v>8.6932343000000003</v>
          </cell>
        </row>
        <row r="7">
          <cell r="A7" t="str">
            <v>Hamburg</v>
          </cell>
          <cell r="B7">
            <v>53.543764099123798</v>
          </cell>
          <cell r="C7">
            <v>10.009913299999999</v>
          </cell>
        </row>
        <row r="8">
          <cell r="A8" t="str">
            <v>Hessen</v>
          </cell>
          <cell r="B8">
            <v>50.608065099322303</v>
          </cell>
          <cell r="C8">
            <v>9.02846469999999</v>
          </cell>
        </row>
        <row r="9">
          <cell r="A9" t="str">
            <v>Niedersachsen</v>
          </cell>
          <cell r="B9">
            <v>52.636703599999997</v>
          </cell>
          <cell r="C9">
            <v>9.8450766000000005</v>
          </cell>
        </row>
        <row r="10">
          <cell r="A10" t="str">
            <v>Mecklenburg-Vorpommern</v>
          </cell>
          <cell r="B10">
            <v>53.773506399151003</v>
          </cell>
          <cell r="C10">
            <v>12.5755470999999</v>
          </cell>
        </row>
        <row r="11">
          <cell r="A11" t="str">
            <v>Nordrhein-Westfalen</v>
          </cell>
          <cell r="B11">
            <v>51.478920499175302</v>
          </cell>
          <cell r="C11">
            <v>7.5543750999999899</v>
          </cell>
        </row>
        <row r="12">
          <cell r="A12" t="str">
            <v>Rheinland-Pfalz</v>
          </cell>
          <cell r="B12">
            <v>49.953159899462896</v>
          </cell>
          <cell r="C12">
            <v>7.3106460000000002</v>
          </cell>
        </row>
        <row r="13">
          <cell r="A13" t="str">
            <v>Saarland</v>
          </cell>
          <cell r="B13">
            <v>49.384187199597797</v>
          </cell>
          <cell r="C13">
            <v>6.9537368999999902</v>
          </cell>
        </row>
        <row r="14">
          <cell r="A14" t="str">
            <v>Sachsen</v>
          </cell>
          <cell r="B14">
            <v>50.929579799261802</v>
          </cell>
          <cell r="C14">
            <v>13.458505199999999</v>
          </cell>
        </row>
        <row r="15">
          <cell r="A15" t="str">
            <v>Sachsen-Anhalt</v>
          </cell>
          <cell r="B15">
            <v>52.008906499116698</v>
          </cell>
          <cell r="C15">
            <v>11.7003343999999</v>
          </cell>
        </row>
        <row r="16">
          <cell r="A16" t="str">
            <v>Schleswig-Holstein</v>
          </cell>
          <cell r="B16">
            <v>54.185399799218096</v>
          </cell>
          <cell r="C16">
            <v>9.8220088999999895</v>
          </cell>
        </row>
        <row r="17">
          <cell r="A17" t="str">
            <v>Thüringen</v>
          </cell>
          <cell r="B17">
            <v>50.901472099266797</v>
          </cell>
          <cell r="C17">
            <v>11.037783900000001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711-0020"/>
      <sheetName val="Sheet1"/>
    </sheetNames>
    <sheetDataSet>
      <sheetData sheetId="0" refreshError="1"/>
      <sheetData sheetId="1" refreshError="1">
        <row r="1">
          <cell r="A1" t="str">
            <v>Baden-Württemberg</v>
          </cell>
          <cell r="B1">
            <v>83621</v>
          </cell>
        </row>
        <row r="2">
          <cell r="A2" t="str">
            <v>Bayern</v>
          </cell>
          <cell r="B2">
            <v>99124</v>
          </cell>
        </row>
        <row r="3">
          <cell r="A3" t="str">
            <v>Berlin</v>
          </cell>
          <cell r="B3">
            <v>32765</v>
          </cell>
        </row>
        <row r="4">
          <cell r="A4" t="str">
            <v>Brandenburg</v>
          </cell>
          <cell r="B4">
            <v>29786</v>
          </cell>
        </row>
        <row r="5">
          <cell r="A5" t="str">
            <v>Bremen</v>
          </cell>
          <cell r="B5">
            <v>8886</v>
          </cell>
        </row>
        <row r="6">
          <cell r="A6" t="str">
            <v>Hamburg</v>
          </cell>
          <cell r="B6">
            <v>19887</v>
          </cell>
        </row>
        <row r="7">
          <cell r="A7" t="str">
            <v>Hessen</v>
          </cell>
          <cell r="B7">
            <v>49095</v>
          </cell>
        </row>
        <row r="8">
          <cell r="A8" t="str">
            <v>Mecklenburg-Vorpommern</v>
          </cell>
          <cell r="B8">
            <v>16090</v>
          </cell>
        </row>
        <row r="9">
          <cell r="A9" t="str">
            <v>Niedersachsen</v>
          </cell>
          <cell r="B9">
            <v>62152</v>
          </cell>
        </row>
        <row r="10">
          <cell r="A10" t="str">
            <v>Nordrhein-Westfalen</v>
          </cell>
          <cell r="B10">
            <v>122376</v>
          </cell>
        </row>
        <row r="11">
          <cell r="A11" t="str">
            <v>Rheinland-Pfalz</v>
          </cell>
          <cell r="B11">
            <v>32885</v>
          </cell>
        </row>
        <row r="12">
          <cell r="A12" t="str">
            <v>Saarland</v>
          </cell>
          <cell r="B12">
            <v>8818</v>
          </cell>
        </row>
        <row r="13">
          <cell r="A13" t="str">
            <v>Sachsen</v>
          </cell>
          <cell r="B13">
            <v>36231</v>
          </cell>
        </row>
        <row r="14">
          <cell r="A14" t="str">
            <v>Sachsen-Anhalt</v>
          </cell>
          <cell r="B14">
            <v>16096</v>
          </cell>
        </row>
        <row r="15">
          <cell r="A15" t="str">
            <v>Schleswig-Holstein</v>
          </cell>
          <cell r="B15">
            <v>31144</v>
          </cell>
        </row>
        <row r="16">
          <cell r="A16" t="str">
            <v>Thüringen</v>
          </cell>
          <cell r="B16">
            <v>14008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refreshError="1"/>
      <sheetData sheetId="1" refreshError="1"/>
      <sheetData sheetId="2" refreshError="1">
        <row r="1">
          <cell r="A1" t="str">
            <v>Data extracted on 19/04/2025 01:19:36 from [ESTAT]</v>
          </cell>
        </row>
        <row r="2">
          <cell r="A2" t="str">
            <v xml:space="preserve">Dataset: </v>
          </cell>
          <cell r="B2" t="str">
            <v>Population by educational attainment level, sex and NUTS 2 region (%) [edat_lfse_04__custom_16318646]</v>
          </cell>
        </row>
        <row r="3">
          <cell r="A3" t="str">
            <v xml:space="preserve">Last updated: </v>
          </cell>
          <cell r="B3" t="str">
            <v>14/04/2025 23:00</v>
          </cell>
        </row>
        <row r="5">
          <cell r="A5" t="str">
            <v>Time frequency</v>
          </cell>
          <cell r="C5" t="str">
            <v>Annual</v>
          </cell>
        </row>
        <row r="6">
          <cell r="A6" t="str">
            <v>Sex</v>
          </cell>
          <cell r="C6" t="str">
            <v>Total</v>
          </cell>
        </row>
        <row r="7">
          <cell r="A7" t="str">
            <v>International Standard Classification of Education (ISCED 2011)</v>
          </cell>
          <cell r="C7" t="str">
            <v>Tertiary education (levels 5-8)</v>
          </cell>
        </row>
        <row r="8">
          <cell r="A8" t="str">
            <v>Age class</v>
          </cell>
          <cell r="C8" t="str">
            <v>From 25 to 64 years</v>
          </cell>
        </row>
        <row r="9">
          <cell r="A9" t="str">
            <v>Unit of measure</v>
          </cell>
          <cell r="C9" t="str">
            <v>Percentage</v>
          </cell>
        </row>
        <row r="11">
          <cell r="A11" t="str">
            <v>TIME</v>
          </cell>
          <cell r="B11" t="str">
            <v>2023</v>
          </cell>
          <cell r="C11" t="str">
            <v/>
          </cell>
        </row>
        <row r="12">
          <cell r="A12" t="str">
            <v>GEO (Labels)</v>
          </cell>
          <cell r="B12" t="str">
            <v/>
          </cell>
          <cell r="C12" t="str">
            <v/>
          </cell>
        </row>
        <row r="13">
          <cell r="A13" t="str">
            <v>Baden-Württemberg</v>
          </cell>
          <cell r="B13">
            <v>36.5</v>
          </cell>
          <cell r="C13" t="str">
            <v/>
          </cell>
        </row>
        <row r="14">
          <cell r="A14" t="str">
            <v>Bayern</v>
          </cell>
          <cell r="B14">
            <v>35.6</v>
          </cell>
          <cell r="C14" t="str">
            <v/>
          </cell>
        </row>
        <row r="15">
          <cell r="A15" t="str">
            <v>Berlin</v>
          </cell>
          <cell r="B15">
            <v>45.4</v>
          </cell>
          <cell r="C15" t="str">
            <v/>
          </cell>
        </row>
        <row r="16">
          <cell r="A16" t="str">
            <v>Brandenburg</v>
          </cell>
          <cell r="B16">
            <v>30.7</v>
          </cell>
          <cell r="C16" t="str">
            <v/>
          </cell>
        </row>
        <row r="17">
          <cell r="A17" t="str">
            <v>Bremen</v>
          </cell>
          <cell r="B17">
            <v>30.9</v>
          </cell>
          <cell r="C17" t="str">
            <v/>
          </cell>
        </row>
        <row r="18">
          <cell r="A18" t="str">
            <v>Hamburg</v>
          </cell>
          <cell r="B18">
            <v>40</v>
          </cell>
          <cell r="C18" t="str">
            <v/>
          </cell>
        </row>
        <row r="19">
          <cell r="A19" t="str">
            <v>Hessen</v>
          </cell>
          <cell r="B19">
            <v>34.799999999999997</v>
          </cell>
          <cell r="C19" t="str">
            <v/>
          </cell>
        </row>
        <row r="20">
          <cell r="A20" t="str">
            <v>Mecklenburg-Vorpommern</v>
          </cell>
          <cell r="B20">
            <v>26.9</v>
          </cell>
          <cell r="C20" t="str">
            <v/>
          </cell>
        </row>
        <row r="21">
          <cell r="A21" t="str">
            <v>Niedersachsen</v>
          </cell>
          <cell r="B21">
            <v>30.3</v>
          </cell>
          <cell r="C21" t="str">
            <v/>
          </cell>
        </row>
        <row r="22">
          <cell r="A22" t="str">
            <v>Nordrhein-Westfalen</v>
          </cell>
          <cell r="B22">
            <v>30.9</v>
          </cell>
          <cell r="C22" t="str">
            <v/>
          </cell>
        </row>
        <row r="23">
          <cell r="A23" t="str">
            <v>Rheinland-Pfalz</v>
          </cell>
          <cell r="B23">
            <v>31.7</v>
          </cell>
          <cell r="C23" t="str">
            <v/>
          </cell>
        </row>
        <row r="24">
          <cell r="A24" t="str">
            <v>Saarland</v>
          </cell>
          <cell r="B24">
            <v>27</v>
          </cell>
          <cell r="C24" t="str">
            <v/>
          </cell>
        </row>
        <row r="25">
          <cell r="A25" t="str">
            <v>Sachsen</v>
          </cell>
          <cell r="B25">
            <v>32.5</v>
          </cell>
          <cell r="C25" t="str">
            <v/>
          </cell>
        </row>
        <row r="26">
          <cell r="A26" t="str">
            <v>Sachsen-Anhalt</v>
          </cell>
          <cell r="B26">
            <v>25.7</v>
          </cell>
          <cell r="C26" t="str">
            <v/>
          </cell>
        </row>
        <row r="27">
          <cell r="A27" t="str">
            <v>Schleswig-Holstein</v>
          </cell>
          <cell r="B27">
            <v>29.3</v>
          </cell>
          <cell r="C27" t="str">
            <v/>
          </cell>
        </row>
        <row r="28">
          <cell r="A28" t="str">
            <v>Thüringen</v>
          </cell>
          <cell r="B28">
            <v>28</v>
          </cell>
          <cell r="C28" t="str">
            <v/>
          </cell>
        </row>
        <row r="30">
          <cell r="A30" t="str">
            <v>Special value</v>
          </cell>
        </row>
        <row r="31">
          <cell r="A31" t="str">
            <v>:</v>
          </cell>
          <cell r="B31" t="str">
            <v>not available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numbeo.com/health-care/" TargetMode="External"/><Relationship Id="rId3" Type="http://schemas.openxmlformats.org/officeDocument/2006/relationships/hyperlink" Target="https://www-genesis.destatis.de/datenbank/online/statistic/12711/table/12711-0020/table-toolbar/search/s/bWlncmF0aW9u" TargetMode="External"/><Relationship Id="rId7" Type="http://schemas.openxmlformats.org/officeDocument/2006/relationships/hyperlink" Target="https://www.numbeo.com/traffic/" TargetMode="External"/><Relationship Id="rId12" Type="http://schemas.openxmlformats.org/officeDocument/2006/relationships/hyperlink" Target="https://de.numbeo.com/lebenshaltungskosten/stadt/" TargetMode="External"/><Relationship Id="rId2" Type="http://schemas.openxmlformats.org/officeDocument/2006/relationships/hyperlink" Target="https://www.deutschland.de/en/topic/politics/germany-europe/federal-states" TargetMode="External"/><Relationship Id="rId1" Type="http://schemas.openxmlformats.org/officeDocument/2006/relationships/hyperlink" Target="https://www.destatis.de/EN/Themes/Society-Environment/Population/Current-Population/Tables/population-by-laender.html" TargetMode="External"/><Relationship Id="rId6" Type="http://schemas.openxmlformats.org/officeDocument/2006/relationships/hyperlink" Target="https://www.numbeo.com/traffic/" TargetMode="External"/><Relationship Id="rId11" Type="http://schemas.openxmlformats.org/officeDocument/2006/relationships/hyperlink" Target="https://www.citypopulation.de/en/germany/urbanareas/" TargetMode="External"/><Relationship Id="rId5" Type="http://schemas.openxmlformats.org/officeDocument/2006/relationships/hyperlink" Target="https://www.numbeo.com/pollution/" TargetMode="External"/><Relationship Id="rId10" Type="http://schemas.openxmlformats.org/officeDocument/2006/relationships/hyperlink" Target="https://www.numbeo.com/property-investment/" TargetMode="External"/><Relationship Id="rId4" Type="http://schemas.openxmlformats.org/officeDocument/2006/relationships/hyperlink" Target="https://www.deutschland.de/en/topic/politics/germany-europe/federal-states" TargetMode="External"/><Relationship Id="rId9" Type="http://schemas.openxmlformats.org/officeDocument/2006/relationships/hyperlink" Target="https://ec.europa.eu/eurostat/databrowser/view/edat_lfse_04__custom_16318646/default/table?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4133-BE32-4D16-A537-E103ED86A43B}">
  <dimension ref="A1:V17"/>
  <sheetViews>
    <sheetView tabSelected="1" workbookViewId="0">
      <pane xSplit="1" topLeftCell="B1" activePane="topRight" state="frozen"/>
      <selection pane="topRight" activeCell="E9" sqref="E9"/>
    </sheetView>
  </sheetViews>
  <sheetFormatPr defaultRowHeight="14.4" x14ac:dyDescent="0.3"/>
  <cols>
    <col min="1" max="1" width="23.21875" bestFit="1" customWidth="1"/>
    <col min="2" max="4" width="23.21875" customWidth="1"/>
    <col min="5" max="5" width="12.33203125" bestFit="1" customWidth="1"/>
    <col min="6" max="7" width="12.33203125" customWidth="1"/>
    <col min="8" max="8" width="12.6640625" bestFit="1" customWidth="1"/>
    <col min="9" max="9" width="12.6640625" customWidth="1"/>
    <col min="10" max="10" width="15.109375" bestFit="1" customWidth="1"/>
    <col min="11" max="11" width="15.109375" customWidth="1"/>
    <col min="12" max="13" width="17.77734375" customWidth="1"/>
    <col min="14" max="14" width="12.33203125" customWidth="1"/>
    <col min="17" max="17" width="13.44140625" customWidth="1"/>
    <col min="21" max="21" width="12" customWidth="1"/>
    <col min="22" max="22" width="21.5546875" customWidth="1"/>
  </cols>
  <sheetData>
    <row r="1" spans="1:22" ht="47.4" customHeight="1" x14ac:dyDescent="0.3">
      <c r="A1" s="6" t="s">
        <v>17</v>
      </c>
      <c r="B1" s="6" t="s">
        <v>34</v>
      </c>
      <c r="C1" s="6" t="s">
        <v>97</v>
      </c>
      <c r="D1" s="6" t="s">
        <v>98</v>
      </c>
      <c r="E1" s="6" t="s">
        <v>16</v>
      </c>
      <c r="F1" s="5" t="s">
        <v>33</v>
      </c>
      <c r="G1" s="5" t="s">
        <v>94</v>
      </c>
      <c r="H1" s="6" t="s">
        <v>30</v>
      </c>
      <c r="I1" s="6" t="s">
        <v>31</v>
      </c>
      <c r="J1" s="6" t="s">
        <v>20</v>
      </c>
      <c r="K1" s="6" t="s">
        <v>80</v>
      </c>
      <c r="L1" s="6" t="s">
        <v>48</v>
      </c>
      <c r="M1" s="6" t="s">
        <v>50</v>
      </c>
      <c r="N1" s="6" t="s">
        <v>19</v>
      </c>
      <c r="O1" s="9" t="s">
        <v>54</v>
      </c>
      <c r="P1" s="9" t="s">
        <v>56</v>
      </c>
      <c r="Q1" s="9" t="s">
        <v>57</v>
      </c>
      <c r="R1" s="9" t="s">
        <v>59</v>
      </c>
      <c r="S1" s="9" t="s">
        <v>69</v>
      </c>
      <c r="T1" s="9" t="s">
        <v>70</v>
      </c>
      <c r="U1" s="9" t="s">
        <v>79</v>
      </c>
      <c r="V1" s="9" t="s">
        <v>74</v>
      </c>
    </row>
    <row r="2" spans="1:22" x14ac:dyDescent="0.3">
      <c r="A2" s="1" t="s">
        <v>0</v>
      </c>
      <c r="B2" s="1" t="s">
        <v>35</v>
      </c>
      <c r="C2" s="1">
        <f>VLOOKUP(A:A,[1]Sheet1!$A:$C,2,)</f>
        <v>48.5908945997937</v>
      </c>
      <c r="D2" s="1">
        <f>VLOOKUP(A:A,[1]Sheet1!$A:$C,3,)</f>
        <v>9.0399498000000005</v>
      </c>
      <c r="E2" s="1">
        <v>11339260</v>
      </c>
      <c r="F2" s="7">
        <f>E2/J2</f>
        <v>317.17322592375041</v>
      </c>
      <c r="G2" s="1">
        <v>7312450</v>
      </c>
      <c r="H2" s="1">
        <f>VLOOKUP(A:A,[2]Sheet1!$A:$B,2,)</f>
        <v>83621</v>
      </c>
      <c r="I2" s="1">
        <v>7.3744671169018083</v>
      </c>
      <c r="J2" s="1">
        <v>35751</v>
      </c>
      <c r="K2" s="1">
        <v>64.099999999999994</v>
      </c>
      <c r="L2" s="1">
        <v>121.7</v>
      </c>
      <c r="M2" s="1">
        <v>3173.83</v>
      </c>
      <c r="N2" s="1">
        <v>35751</v>
      </c>
      <c r="O2" s="1">
        <v>38.1</v>
      </c>
      <c r="P2" s="1">
        <v>99.62</v>
      </c>
      <c r="Q2" s="1">
        <v>2666.96</v>
      </c>
      <c r="R2" s="1">
        <v>77.069999999999993</v>
      </c>
      <c r="S2" s="1">
        <v>34.74</v>
      </c>
      <c r="T2" s="1">
        <v>65.36</v>
      </c>
      <c r="U2" s="1">
        <v>8.4700000000000006</v>
      </c>
      <c r="V2" s="1">
        <f>VLOOKUP(A:A,'[3]Sheet 1'!$A:$C,2,)</f>
        <v>36.5</v>
      </c>
    </row>
    <row r="3" spans="1:22" x14ac:dyDescent="0.3">
      <c r="A3" s="2" t="s">
        <v>1</v>
      </c>
      <c r="B3" s="2" t="s">
        <v>36</v>
      </c>
      <c r="C3" s="1">
        <f>VLOOKUP(A:A,[1]Sheet1!$A:$C,2,)</f>
        <v>48.946756199705497</v>
      </c>
      <c r="D3" s="1">
        <f>VLOOKUP(A:A,[1]Sheet1!$A:$C,3,)</f>
        <v>11.4038717</v>
      </c>
      <c r="E3" s="1">
        <v>13435062</v>
      </c>
      <c r="F3" s="7">
        <f t="shared" ref="F3:F17" si="0">E3/J3</f>
        <v>190.42779793627395</v>
      </c>
      <c r="G3" s="1">
        <v>8964700</v>
      </c>
      <c r="H3" s="1">
        <f>VLOOKUP(A:A,[2]Sheet1!$A:$B,2,)</f>
        <v>99124</v>
      </c>
      <c r="I3" s="1">
        <v>7.3780083783759247</v>
      </c>
      <c r="J3" s="1">
        <v>70552</v>
      </c>
      <c r="K3" s="1">
        <v>73.099999999999994</v>
      </c>
      <c r="L3" s="1">
        <v>101.6</v>
      </c>
      <c r="M3" s="1">
        <v>3286.62</v>
      </c>
      <c r="N3" s="1">
        <v>70552</v>
      </c>
      <c r="O3" s="1">
        <v>25.22</v>
      </c>
      <c r="P3" s="1">
        <v>104.25</v>
      </c>
      <c r="Q3" s="1">
        <v>2553.61</v>
      </c>
      <c r="R3" s="1">
        <v>77.040000000000006</v>
      </c>
      <c r="S3" s="1">
        <v>21.12</v>
      </c>
      <c r="T3" s="1">
        <v>78.88</v>
      </c>
      <c r="U3" s="1">
        <v>14.92</v>
      </c>
      <c r="V3" s="1">
        <f>VLOOKUP(A:A,'[3]Sheet 1'!$A:$C,2,)</f>
        <v>35.6</v>
      </c>
    </row>
    <row r="4" spans="1:22" x14ac:dyDescent="0.3">
      <c r="A4" s="1" t="s">
        <v>2</v>
      </c>
      <c r="B4" s="1" t="s">
        <v>2</v>
      </c>
      <c r="C4" s="1">
        <f>VLOOKUP(A:A,[1]Sheet1!$A:$C,2,)</f>
        <v>52.501521699088002</v>
      </c>
      <c r="D4" s="1">
        <f>VLOOKUP(A:A,[1]Sheet1!$A:$C,3,)</f>
        <v>13.4025497999999</v>
      </c>
      <c r="E4" s="1">
        <v>3782202</v>
      </c>
      <c r="F4" s="7">
        <f t="shared" si="0"/>
        <v>4240.1367713004483</v>
      </c>
      <c r="G4" s="1">
        <v>4449000</v>
      </c>
      <c r="H4" s="1">
        <f>VLOOKUP(A:A,[2]Sheet1!$A:$B,2,)</f>
        <v>32765</v>
      </c>
      <c r="I4" s="1">
        <v>8.6629429099767812</v>
      </c>
      <c r="J4" s="1">
        <v>892</v>
      </c>
      <c r="K4" s="1">
        <v>69.7</v>
      </c>
      <c r="L4" s="1">
        <v>121</v>
      </c>
      <c r="M4" s="1">
        <v>2904.84</v>
      </c>
      <c r="N4" s="1">
        <v>892</v>
      </c>
      <c r="O4" s="1">
        <v>38.619999999999997</v>
      </c>
      <c r="P4" s="1">
        <v>99.84</v>
      </c>
      <c r="Q4" s="1">
        <v>1354.9</v>
      </c>
      <c r="R4" s="1">
        <v>67.239999999999995</v>
      </c>
      <c r="S4" s="1">
        <v>44.7</v>
      </c>
      <c r="T4" s="1">
        <v>55.3</v>
      </c>
      <c r="U4" s="1">
        <v>11.49</v>
      </c>
      <c r="V4" s="1">
        <f>VLOOKUP(A:A,'[3]Sheet 1'!$A:$C,2,)</f>
        <v>45.4</v>
      </c>
    </row>
    <row r="5" spans="1:22" x14ac:dyDescent="0.3">
      <c r="A5" s="1" t="s">
        <v>3</v>
      </c>
      <c r="B5" s="1" t="s">
        <v>37</v>
      </c>
      <c r="C5" s="1">
        <f>VLOOKUP(A:A,[1]Sheet1!$A:$C,2,)</f>
        <v>52.845549199084601</v>
      </c>
      <c r="D5" s="1">
        <f>VLOOKUP(A:A,[1]Sheet1!$A:$C,3,)</f>
        <v>13.2461295999999</v>
      </c>
      <c r="E5" s="1">
        <v>2581667</v>
      </c>
      <c r="F5" s="7">
        <f t="shared" si="0"/>
        <v>87.555687444889102</v>
      </c>
      <c r="G5" s="1">
        <v>5117300</v>
      </c>
      <c r="H5" s="1">
        <f>VLOOKUP(A:A,[2]Sheet1!$A:$B,2,)</f>
        <v>29786</v>
      </c>
      <c r="I5" s="1">
        <v>11.537506580050797</v>
      </c>
      <c r="J5" s="1">
        <v>29486</v>
      </c>
      <c r="K5" s="8">
        <v>71.569999999999993</v>
      </c>
      <c r="L5" s="1">
        <v>129.29</v>
      </c>
      <c r="M5" s="1">
        <v>2937.5</v>
      </c>
      <c r="N5" s="1">
        <v>29486</v>
      </c>
      <c r="O5" s="1">
        <v>13.82</v>
      </c>
      <c r="P5" s="1">
        <v>98.74</v>
      </c>
      <c r="Q5" s="1">
        <v>1168</v>
      </c>
      <c r="R5" s="1">
        <v>78.94</v>
      </c>
      <c r="S5" s="1">
        <v>24.57</v>
      </c>
      <c r="T5" s="1">
        <v>75.430000000000007</v>
      </c>
      <c r="U5" s="1">
        <v>11.26</v>
      </c>
      <c r="V5" s="1">
        <f>VLOOKUP(A:A,'[3]Sheet 1'!$A:$C,2,)</f>
        <v>30.7</v>
      </c>
    </row>
    <row r="6" spans="1:22" x14ac:dyDescent="0.3">
      <c r="A6" s="1" t="s">
        <v>4</v>
      </c>
      <c r="B6" s="1" t="s">
        <v>4</v>
      </c>
      <c r="C6" s="1">
        <f>VLOOKUP(A:A,[1]Sheet1!$A:$C,2,)</f>
        <v>53.144868999093603</v>
      </c>
      <c r="D6" s="1">
        <f>VLOOKUP(A:A,[1]Sheet1!$A:$C,3,)</f>
        <v>8.6932343000000003</v>
      </c>
      <c r="E6" s="1">
        <v>691703</v>
      </c>
      <c r="F6" s="7">
        <f t="shared" si="0"/>
        <v>1650.8424821002386</v>
      </c>
      <c r="G6" s="1">
        <v>1081000</v>
      </c>
      <c r="H6" s="1">
        <f>VLOOKUP(A:A,[2]Sheet1!$A:$B,2,)</f>
        <v>8886</v>
      </c>
      <c r="I6" s="1">
        <v>12.846554084628806</v>
      </c>
      <c r="J6" s="1">
        <v>419</v>
      </c>
      <c r="K6" s="1">
        <v>63.6</v>
      </c>
      <c r="L6" s="1">
        <v>94.6</v>
      </c>
      <c r="M6" s="1">
        <v>2974.18</v>
      </c>
      <c r="N6" s="1">
        <v>419</v>
      </c>
      <c r="O6" s="1">
        <v>22.6</v>
      </c>
      <c r="P6" s="1">
        <v>113.69</v>
      </c>
      <c r="Q6" s="1">
        <v>2675.25</v>
      </c>
      <c r="R6" s="1">
        <v>71.680000000000007</v>
      </c>
      <c r="S6" s="1">
        <v>48.98</v>
      </c>
      <c r="T6" s="1">
        <v>51.02</v>
      </c>
      <c r="U6" s="1">
        <v>7.33</v>
      </c>
      <c r="V6" s="1">
        <f>VLOOKUP(A:A,'[3]Sheet 1'!$A:$C,2,)</f>
        <v>30.9</v>
      </c>
    </row>
    <row r="7" spans="1:22" x14ac:dyDescent="0.3">
      <c r="A7" s="1" t="s">
        <v>5</v>
      </c>
      <c r="B7" s="1" t="s">
        <v>5</v>
      </c>
      <c r="C7" s="1">
        <f>VLOOKUP(A:A,[1]Sheet1!$A:$C,2,)</f>
        <v>53.543764099123798</v>
      </c>
      <c r="D7" s="1">
        <f>VLOOKUP(A:A,[1]Sheet1!$A:$C,3,)</f>
        <v>10.009913299999999</v>
      </c>
      <c r="E7" s="1">
        <v>1910160</v>
      </c>
      <c r="F7" s="7">
        <f t="shared" si="0"/>
        <v>2530.0132450331125</v>
      </c>
      <c r="G7" s="1">
        <v>2611900</v>
      </c>
      <c r="H7" s="1">
        <f>VLOOKUP(A:A,[2]Sheet1!$A:$B,2,)</f>
        <v>19887</v>
      </c>
      <c r="I7" s="1">
        <v>10.411169744942832</v>
      </c>
      <c r="J7" s="1">
        <v>755</v>
      </c>
      <c r="K7" s="1">
        <v>70.400000000000006</v>
      </c>
      <c r="L7" s="1">
        <v>106.2</v>
      </c>
      <c r="M7" s="1">
        <v>3110.71</v>
      </c>
      <c r="N7" s="1">
        <v>755</v>
      </c>
      <c r="O7" s="1">
        <v>29.11</v>
      </c>
      <c r="P7" s="1">
        <v>115.03</v>
      </c>
      <c r="Q7" s="1">
        <v>2767.34</v>
      </c>
      <c r="R7" s="1">
        <v>74.89</v>
      </c>
      <c r="S7" s="1">
        <v>42.22</v>
      </c>
      <c r="T7" s="1">
        <v>57.78</v>
      </c>
      <c r="U7" s="1">
        <v>10.63</v>
      </c>
      <c r="V7" s="1">
        <f>VLOOKUP(A:A,'[3]Sheet 1'!$A:$C,2,)</f>
        <v>40</v>
      </c>
    </row>
    <row r="8" spans="1:22" x14ac:dyDescent="0.3">
      <c r="A8" s="1" t="s">
        <v>6</v>
      </c>
      <c r="B8" s="1" t="s">
        <v>38</v>
      </c>
      <c r="C8" s="1">
        <f>VLOOKUP(A:A,[1]Sheet1!$A:$C,2,)</f>
        <v>50.608065099322303</v>
      </c>
      <c r="D8" s="1">
        <f>VLOOKUP(A:A,[1]Sheet1!$A:$C,3,)</f>
        <v>9.02846469999999</v>
      </c>
      <c r="E8" s="1">
        <v>6420729</v>
      </c>
      <c r="F8" s="7">
        <f t="shared" si="0"/>
        <v>304.08377930381243</v>
      </c>
      <c r="G8" s="1">
        <v>5352000</v>
      </c>
      <c r="H8" s="1">
        <f>VLOOKUP(A:A,[2]Sheet1!$A:$B,2,)</f>
        <v>49095</v>
      </c>
      <c r="I8" s="1">
        <v>7.6463280104175091</v>
      </c>
      <c r="J8" s="1">
        <v>21115</v>
      </c>
      <c r="K8" s="1">
        <v>69.3</v>
      </c>
      <c r="L8" s="1">
        <v>107</v>
      </c>
      <c r="M8" s="1">
        <v>3363.51</v>
      </c>
      <c r="N8" s="1">
        <v>21115</v>
      </c>
      <c r="O8" s="1">
        <v>37.89</v>
      </c>
      <c r="P8" s="1">
        <v>102.51</v>
      </c>
      <c r="Q8" s="1">
        <v>4555.33</v>
      </c>
      <c r="R8" s="1">
        <v>62.08</v>
      </c>
      <c r="S8" s="1">
        <v>49.01</v>
      </c>
      <c r="T8" s="1">
        <v>50.99</v>
      </c>
      <c r="U8" s="1">
        <v>7.12</v>
      </c>
      <c r="V8" s="1">
        <f>VLOOKUP(A:A,'[3]Sheet 1'!$A:$C,2,)</f>
        <v>34.799999999999997</v>
      </c>
    </row>
    <row r="9" spans="1:22" x14ac:dyDescent="0.3">
      <c r="A9" s="1" t="s">
        <v>7</v>
      </c>
      <c r="B9" s="1" t="s">
        <v>39</v>
      </c>
      <c r="C9" s="1">
        <f>VLOOKUP(A:A,[1]Sheet1!$A:$C,2,)</f>
        <v>53.773506399151003</v>
      </c>
      <c r="D9" s="1">
        <f>VLOOKUP(A:A,[1]Sheet1!$A:$C,3,)</f>
        <v>12.5755470999999</v>
      </c>
      <c r="E9" s="1">
        <v>1629464</v>
      </c>
      <c r="F9" s="7">
        <f t="shared" si="0"/>
        <v>70.296117342536675</v>
      </c>
      <c r="G9" s="1">
        <v>1066600</v>
      </c>
      <c r="H9" s="1">
        <f>VLOOKUP(A:A,[2]Sheet1!$A:$B,2,)</f>
        <v>16090</v>
      </c>
      <c r="I9" s="1">
        <v>9.8744126903079774</v>
      </c>
      <c r="J9" s="1">
        <v>23180</v>
      </c>
      <c r="K9" s="1" t="s">
        <v>49</v>
      </c>
      <c r="L9" s="1" t="s">
        <v>49</v>
      </c>
      <c r="M9" s="1">
        <v>2400</v>
      </c>
      <c r="N9" s="1">
        <v>23180</v>
      </c>
      <c r="O9" s="1">
        <v>33.619999999999997</v>
      </c>
      <c r="P9" s="1" t="s">
        <v>49</v>
      </c>
      <c r="Q9" s="1" t="s">
        <v>49</v>
      </c>
      <c r="R9" s="1" t="s">
        <v>49</v>
      </c>
      <c r="S9" s="1">
        <v>24.42</v>
      </c>
      <c r="T9" s="1">
        <v>75.58</v>
      </c>
      <c r="U9" s="1">
        <v>14.07</v>
      </c>
      <c r="V9" s="1">
        <f>VLOOKUP(A:A,'[3]Sheet 1'!$A:$C,2,)</f>
        <v>26.9</v>
      </c>
    </row>
    <row r="10" spans="1:22" x14ac:dyDescent="0.3">
      <c r="A10" s="4" t="s">
        <v>8</v>
      </c>
      <c r="B10" s="1" t="s">
        <v>40</v>
      </c>
      <c r="C10" s="1">
        <v>52.636703599999997</v>
      </c>
      <c r="D10" s="1">
        <v>9.8450766000000005</v>
      </c>
      <c r="E10" s="1">
        <v>8161981</v>
      </c>
      <c r="F10" s="7">
        <f t="shared" si="0"/>
        <v>171.34420069276791</v>
      </c>
      <c r="G10" s="1">
        <v>8170250</v>
      </c>
      <c r="H10" s="1">
        <f>VLOOKUP(A:A,[2]Sheet1!$A:$B,2,)</f>
        <v>62152</v>
      </c>
      <c r="I10" s="1">
        <v>7.6148180202820859</v>
      </c>
      <c r="J10" s="1">
        <v>47635</v>
      </c>
      <c r="K10" s="1">
        <v>62.3</v>
      </c>
      <c r="L10" s="1">
        <v>105.9</v>
      </c>
      <c r="M10" s="1">
        <v>2545.89</v>
      </c>
      <c r="N10" s="1">
        <v>47635</v>
      </c>
      <c r="O10" s="1">
        <v>26.71</v>
      </c>
      <c r="P10" s="1">
        <v>74.680000000000007</v>
      </c>
      <c r="Q10" s="1">
        <v>1545.52</v>
      </c>
      <c r="R10" s="1">
        <v>66.959999999999994</v>
      </c>
      <c r="S10" s="1">
        <v>46.01</v>
      </c>
      <c r="T10" s="1">
        <v>53.99</v>
      </c>
      <c r="U10" s="1">
        <v>6.68</v>
      </c>
      <c r="V10" s="1">
        <f>VLOOKUP(A:A,'[3]Sheet 1'!$A:$C,2,)</f>
        <v>30.3</v>
      </c>
    </row>
    <row r="11" spans="1:22" x14ac:dyDescent="0.3">
      <c r="A11" s="1" t="s">
        <v>9</v>
      </c>
      <c r="B11" s="1" t="s">
        <v>41</v>
      </c>
      <c r="C11" s="1">
        <f>VLOOKUP(A:A,[1]Sheet1!$A:$C,2,)</f>
        <v>51.478920499175302</v>
      </c>
      <c r="D11" s="1">
        <f>VLOOKUP(A:A,[1]Sheet1!$A:$C,3,)</f>
        <v>7.5543750999999899</v>
      </c>
      <c r="E11" s="1">
        <v>18190422</v>
      </c>
      <c r="F11" s="7">
        <f t="shared" si="0"/>
        <v>533.47474925215556</v>
      </c>
      <c r="G11" s="1">
        <v>15723900</v>
      </c>
      <c r="H11" s="1">
        <f>VLOOKUP(A:A,[2]Sheet1!$A:$B,2,)</f>
        <v>122376</v>
      </c>
      <c r="I11" s="1">
        <v>6.7274964813900411</v>
      </c>
      <c r="J11" s="1">
        <v>34098</v>
      </c>
      <c r="K11" s="1">
        <v>68.099999999999994</v>
      </c>
      <c r="L11" s="1">
        <v>107.8</v>
      </c>
      <c r="M11" s="1">
        <v>3010.63</v>
      </c>
      <c r="N11" s="1">
        <v>34098</v>
      </c>
      <c r="O11" s="1">
        <v>32.39</v>
      </c>
      <c r="P11" s="1">
        <v>112.05</v>
      </c>
      <c r="Q11" s="1">
        <v>4090.68</v>
      </c>
      <c r="R11" s="1">
        <v>72.64</v>
      </c>
      <c r="S11" s="1">
        <v>35.86</v>
      </c>
      <c r="T11" s="1">
        <v>64.14</v>
      </c>
      <c r="U11" s="1">
        <v>9.69</v>
      </c>
      <c r="V11" s="1">
        <f>VLOOKUP(A:A,'[3]Sheet 1'!$A:$C,2,)</f>
        <v>30.9</v>
      </c>
    </row>
    <row r="12" spans="1:22" x14ac:dyDescent="0.3">
      <c r="A12" s="1" t="s">
        <v>10</v>
      </c>
      <c r="B12" s="1" t="s">
        <v>42</v>
      </c>
      <c r="C12" s="1">
        <f>VLOOKUP(A:A,[1]Sheet1!$A:$C,2,)</f>
        <v>49.953159899462896</v>
      </c>
      <c r="D12" s="1">
        <f>VLOOKUP(A:A,[1]Sheet1!$A:$C,3,)</f>
        <v>7.3106460000000002</v>
      </c>
      <c r="E12" s="1">
        <v>4174311</v>
      </c>
      <c r="F12" s="7">
        <f t="shared" si="0"/>
        <v>210.26096811565003</v>
      </c>
      <c r="G12" s="1">
        <v>7609050</v>
      </c>
      <c r="H12" s="1">
        <f>VLOOKUP(A:A,[2]Sheet1!$A:$B,2,)</f>
        <v>32885</v>
      </c>
      <c r="I12" s="1">
        <v>7.8779468036761031</v>
      </c>
      <c r="J12" s="1">
        <v>19853</v>
      </c>
      <c r="K12" s="1">
        <v>65.319999999999993</v>
      </c>
      <c r="L12" s="1">
        <v>143.33000000000001</v>
      </c>
      <c r="M12" s="1">
        <v>2956.52</v>
      </c>
      <c r="N12" s="1">
        <v>19853</v>
      </c>
      <c r="O12" s="1">
        <v>27.07</v>
      </c>
      <c r="P12" s="1">
        <v>115.46</v>
      </c>
      <c r="Q12" s="1">
        <v>3128.23</v>
      </c>
      <c r="R12" s="1">
        <v>69.63</v>
      </c>
      <c r="S12" s="1">
        <v>30.78</v>
      </c>
      <c r="T12" s="1">
        <v>69.22</v>
      </c>
      <c r="U12" s="1">
        <v>9.64</v>
      </c>
      <c r="V12" s="1">
        <f>VLOOKUP(A:A,'[3]Sheet 1'!$A:$C,2,)</f>
        <v>31.7</v>
      </c>
    </row>
    <row r="13" spans="1:22" x14ac:dyDescent="0.3">
      <c r="A13" s="1" t="s">
        <v>11</v>
      </c>
      <c r="B13" s="1" t="s">
        <v>43</v>
      </c>
      <c r="C13" s="1">
        <f>VLOOKUP(A:A,[1]Sheet1!$A:$C,2,)</f>
        <v>49.384187199597797</v>
      </c>
      <c r="D13" s="1">
        <f>VLOOKUP(A:A,[1]Sheet1!$A:$C,3,)</f>
        <v>6.9537368999999902</v>
      </c>
      <c r="E13" s="1">
        <v>994424</v>
      </c>
      <c r="F13" s="7">
        <f t="shared" si="0"/>
        <v>386.93540856031126</v>
      </c>
      <c r="G13" s="1">
        <v>763950</v>
      </c>
      <c r="H13" s="1">
        <f>VLOOKUP(A:A,[2]Sheet1!$A:$B,2,)</f>
        <v>8818</v>
      </c>
      <c r="I13" s="1">
        <v>8.8674448726096724</v>
      </c>
      <c r="J13" s="1">
        <v>2570</v>
      </c>
      <c r="K13" s="1">
        <v>56.89</v>
      </c>
      <c r="L13" s="1">
        <v>163.49</v>
      </c>
      <c r="M13" s="1">
        <v>2786</v>
      </c>
      <c r="N13" s="1">
        <v>2570</v>
      </c>
      <c r="O13" s="1">
        <v>16.04</v>
      </c>
      <c r="P13" s="1">
        <v>103.55</v>
      </c>
      <c r="Q13" s="1">
        <v>2424.5</v>
      </c>
      <c r="R13" s="1">
        <v>82.22</v>
      </c>
      <c r="S13" s="1">
        <v>43.5</v>
      </c>
      <c r="T13" s="1">
        <v>56.5</v>
      </c>
      <c r="U13" s="1">
        <v>3.53</v>
      </c>
      <c r="V13" s="1">
        <f>VLOOKUP(A:A,'[3]Sheet 1'!$A:$C,2,)</f>
        <v>27</v>
      </c>
    </row>
    <row r="14" spans="1:22" x14ac:dyDescent="0.3">
      <c r="A14" s="1" t="s">
        <v>12</v>
      </c>
      <c r="B14" s="1" t="s">
        <v>44</v>
      </c>
      <c r="C14" s="1">
        <f>VLOOKUP(A:A,[1]Sheet1!$A:$C,2,)</f>
        <v>50.929579799261802</v>
      </c>
      <c r="D14" s="1">
        <f>VLOOKUP(A:A,[1]Sheet1!$A:$C,3,)</f>
        <v>13.458505199999999</v>
      </c>
      <c r="E14" s="1">
        <v>4089467</v>
      </c>
      <c r="F14" s="7">
        <f t="shared" si="0"/>
        <v>222.060545178106</v>
      </c>
      <c r="G14" s="1">
        <v>2858900</v>
      </c>
      <c r="H14" s="1">
        <f>VLOOKUP(A:A,[2]Sheet1!$A:$B,2,)</f>
        <v>36231</v>
      </c>
      <c r="I14" s="1">
        <v>8.8595897705006532</v>
      </c>
      <c r="J14" s="1">
        <v>18416</v>
      </c>
      <c r="K14" s="1">
        <v>58.6</v>
      </c>
      <c r="L14" s="1">
        <v>113</v>
      </c>
      <c r="M14" s="1">
        <v>2793.14</v>
      </c>
      <c r="N14" s="1">
        <v>18416</v>
      </c>
      <c r="O14" s="1">
        <v>22.73</v>
      </c>
      <c r="P14" s="1">
        <v>85.49</v>
      </c>
      <c r="Q14" s="1">
        <v>2351.73</v>
      </c>
      <c r="R14" s="1">
        <v>78.53</v>
      </c>
      <c r="S14" s="1">
        <v>31.65</v>
      </c>
      <c r="T14" s="1">
        <v>68.349999999999994</v>
      </c>
      <c r="U14" s="1">
        <v>7.17</v>
      </c>
      <c r="V14" s="1">
        <f>VLOOKUP(A:A,'[3]Sheet 1'!$A:$C,2,)</f>
        <v>32.5</v>
      </c>
    </row>
    <row r="15" spans="1:22" x14ac:dyDescent="0.3">
      <c r="A15" s="1" t="s">
        <v>13</v>
      </c>
      <c r="B15" s="1" t="s">
        <v>45</v>
      </c>
      <c r="C15" s="1">
        <f>VLOOKUP(A:A,[1]Sheet1!$A:$C,2,)</f>
        <v>52.008906499116698</v>
      </c>
      <c r="D15" s="1">
        <f>VLOOKUP(A:A,[1]Sheet1!$A:$C,3,)</f>
        <v>11.7003343999999</v>
      </c>
      <c r="E15" s="1">
        <v>2180448</v>
      </c>
      <c r="F15" s="7">
        <f t="shared" si="0"/>
        <v>106.64423359092243</v>
      </c>
      <c r="G15" s="1">
        <v>1874250</v>
      </c>
      <c r="H15" s="1">
        <f>VLOOKUP(A:A,[2]Sheet1!$A:$B,2,)</f>
        <v>16096</v>
      </c>
      <c r="I15" s="1">
        <v>7.3819692099972114</v>
      </c>
      <c r="J15" s="1">
        <v>20446</v>
      </c>
      <c r="K15" s="1" t="s">
        <v>49</v>
      </c>
      <c r="L15" s="1" t="s">
        <v>49</v>
      </c>
      <c r="M15" s="1">
        <v>2475</v>
      </c>
      <c r="N15" s="1">
        <v>20446</v>
      </c>
      <c r="O15" s="1">
        <v>17.64</v>
      </c>
      <c r="P15" s="1">
        <v>84.64</v>
      </c>
      <c r="Q15" s="1">
        <v>1946</v>
      </c>
      <c r="R15" s="1">
        <v>58.33</v>
      </c>
      <c r="S15" s="1">
        <v>33.590000000000003</v>
      </c>
      <c r="T15" s="1">
        <v>66.41</v>
      </c>
      <c r="U15" s="1" t="s">
        <v>49</v>
      </c>
      <c r="V15" s="1">
        <f>VLOOKUP(A:A,'[3]Sheet 1'!$A:$C,2,)</f>
        <v>25.7</v>
      </c>
    </row>
    <row r="16" spans="1:22" x14ac:dyDescent="0.3">
      <c r="A16" s="1" t="s">
        <v>14</v>
      </c>
      <c r="B16" s="1" t="s">
        <v>46</v>
      </c>
      <c r="C16" s="1">
        <f>VLOOKUP(A:A,[1]Sheet1!$A:$C,2,)</f>
        <v>54.185399799218096</v>
      </c>
      <c r="D16" s="1">
        <f>VLOOKUP(A:A,[1]Sheet1!$A:$C,3,)</f>
        <v>9.8220088999999895</v>
      </c>
      <c r="E16" s="1">
        <v>2965691</v>
      </c>
      <c r="F16" s="7">
        <f t="shared" si="0"/>
        <v>187.71384264826887</v>
      </c>
      <c r="G16" s="1">
        <v>3943900</v>
      </c>
      <c r="H16" s="1">
        <f>VLOOKUP(A:A,[2]Sheet1!$A:$B,2,)</f>
        <v>31144</v>
      </c>
      <c r="I16" s="1">
        <v>10.501431201025325</v>
      </c>
      <c r="J16" s="1">
        <v>15799</v>
      </c>
      <c r="K16" s="1">
        <v>63.27</v>
      </c>
      <c r="L16" s="1">
        <v>120.9</v>
      </c>
      <c r="M16" s="1">
        <v>2360</v>
      </c>
      <c r="N16" s="1">
        <v>15799</v>
      </c>
      <c r="O16" s="1">
        <v>21.33</v>
      </c>
      <c r="P16" s="1">
        <v>90.76</v>
      </c>
      <c r="Q16" s="1">
        <v>1985</v>
      </c>
      <c r="R16" s="1">
        <v>79.569999999999993</v>
      </c>
      <c r="S16" s="1">
        <v>32.83</v>
      </c>
      <c r="T16" s="1">
        <v>67.17</v>
      </c>
      <c r="U16" s="1">
        <v>7.84</v>
      </c>
      <c r="V16" s="1">
        <f>VLOOKUP(A:A,'[3]Sheet 1'!$A:$C,2,)</f>
        <v>29.3</v>
      </c>
    </row>
    <row r="17" spans="1:22" x14ac:dyDescent="0.3">
      <c r="A17" s="1" t="s">
        <v>15</v>
      </c>
      <c r="B17" s="1" t="s">
        <v>47</v>
      </c>
      <c r="C17" s="1">
        <f>VLOOKUP(A:A,[1]Sheet1!$A:$C,2,)</f>
        <v>50.901472099266797</v>
      </c>
      <c r="D17" s="1">
        <f>VLOOKUP(A:A,[1]Sheet1!$A:$C,3,)</f>
        <v>11.037783900000001</v>
      </c>
      <c r="E17" s="1">
        <v>2122335</v>
      </c>
      <c r="F17" s="7">
        <f t="shared" si="0"/>
        <v>131.2270450751252</v>
      </c>
      <c r="G17" s="1">
        <v>1080700</v>
      </c>
      <c r="H17" s="1">
        <f>VLOOKUP(A:A,[2]Sheet1!$A:$B,2,)</f>
        <v>14008</v>
      </c>
      <c r="I17" s="1">
        <v>6.6002775245189858</v>
      </c>
      <c r="J17" s="1">
        <v>16173</v>
      </c>
      <c r="K17" s="1">
        <v>64.31</v>
      </c>
      <c r="L17" s="1">
        <v>140.36000000000001</v>
      </c>
      <c r="M17" s="1">
        <v>2786</v>
      </c>
      <c r="N17" s="1">
        <v>16173</v>
      </c>
      <c r="O17" s="1">
        <v>24.43</v>
      </c>
      <c r="P17" s="1" t="s">
        <v>49</v>
      </c>
      <c r="Q17" s="1" t="s">
        <v>49</v>
      </c>
      <c r="R17" s="1">
        <v>87.04</v>
      </c>
      <c r="S17" s="1">
        <v>33.99</v>
      </c>
      <c r="T17" s="1">
        <v>66.010000000000005</v>
      </c>
      <c r="U17" s="1">
        <v>6.01</v>
      </c>
      <c r="V17" s="1">
        <f>VLOOKUP(A:A,'[3]Sheet 1'!$A:$C,2,)</f>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C3DF-D79B-4A2E-B18C-567DEA1ACC8B}">
  <dimension ref="A1:C22"/>
  <sheetViews>
    <sheetView workbookViewId="0">
      <selection activeCell="B8" sqref="B8"/>
    </sheetView>
  </sheetViews>
  <sheetFormatPr defaultRowHeight="14.4" x14ac:dyDescent="0.3"/>
  <cols>
    <col min="1" max="1" width="26.109375" customWidth="1"/>
    <col min="2" max="2" width="106.21875" customWidth="1"/>
    <col min="3" max="3" width="59.44140625" customWidth="1"/>
  </cols>
  <sheetData>
    <row r="1" spans="1:3" x14ac:dyDescent="0.3">
      <c r="A1" s="11" t="s">
        <v>21</v>
      </c>
      <c r="B1" t="s">
        <v>23</v>
      </c>
      <c r="C1" t="s">
        <v>22</v>
      </c>
    </row>
    <row r="2" spans="1:3" ht="43.2" x14ac:dyDescent="0.3">
      <c r="A2" s="11" t="s">
        <v>24</v>
      </c>
      <c r="B2" s="3" t="s">
        <v>25</v>
      </c>
      <c r="C2" s="12" t="s">
        <v>90</v>
      </c>
    </row>
    <row r="3" spans="1:3" x14ac:dyDescent="0.3">
      <c r="A3" s="11" t="s">
        <v>32</v>
      </c>
      <c r="B3" t="s">
        <v>92</v>
      </c>
      <c r="C3" t="s">
        <v>91</v>
      </c>
    </row>
    <row r="4" spans="1:3" x14ac:dyDescent="0.3">
      <c r="A4" s="11" t="s">
        <v>94</v>
      </c>
      <c r="B4" s="3" t="s">
        <v>95</v>
      </c>
      <c r="C4" t="s">
        <v>96</v>
      </c>
    </row>
    <row r="5" spans="1:3" ht="28.8" x14ac:dyDescent="0.3">
      <c r="A5" s="11" t="s">
        <v>28</v>
      </c>
      <c r="B5" s="3" t="s">
        <v>29</v>
      </c>
      <c r="C5" s="11" t="s">
        <v>88</v>
      </c>
    </row>
    <row r="6" spans="1:3" ht="43.2" x14ac:dyDescent="0.3">
      <c r="A6" s="11" t="s">
        <v>31</v>
      </c>
      <c r="B6" t="s">
        <v>93</v>
      </c>
      <c r="C6" s="11" t="s">
        <v>89</v>
      </c>
    </row>
    <row r="7" spans="1:3" ht="43.2" x14ac:dyDescent="0.3">
      <c r="A7" s="11" t="s">
        <v>18</v>
      </c>
      <c r="B7" s="3" t="s">
        <v>26</v>
      </c>
      <c r="C7" s="11" t="s">
        <v>87</v>
      </c>
    </row>
    <row r="8" spans="1:3" ht="72" x14ac:dyDescent="0.3">
      <c r="A8" s="11" t="s">
        <v>83</v>
      </c>
      <c r="B8" s="3" t="s">
        <v>82</v>
      </c>
      <c r="C8" s="11" t="s">
        <v>81</v>
      </c>
    </row>
    <row r="9" spans="1:3" ht="72" x14ac:dyDescent="0.3">
      <c r="A9" s="11" t="s">
        <v>52</v>
      </c>
      <c r="B9" s="3" t="s">
        <v>82</v>
      </c>
      <c r="C9" s="11" t="s">
        <v>84</v>
      </c>
    </row>
    <row r="10" spans="1:3" ht="28.8" x14ac:dyDescent="0.3">
      <c r="A10" s="11" t="s">
        <v>51</v>
      </c>
      <c r="B10" s="3" t="s">
        <v>82</v>
      </c>
      <c r="C10" t="s">
        <v>85</v>
      </c>
    </row>
    <row r="11" spans="1:3" ht="100.8" x14ac:dyDescent="0.3">
      <c r="A11" s="11" t="s">
        <v>27</v>
      </c>
      <c r="B11" s="3" t="s">
        <v>26</v>
      </c>
      <c r="C11" s="11" t="s">
        <v>86</v>
      </c>
    </row>
    <row r="12" spans="1:3" ht="100.8" customHeight="1" x14ac:dyDescent="0.3">
      <c r="A12" s="11" t="s">
        <v>53</v>
      </c>
      <c r="B12" s="3" t="s">
        <v>66</v>
      </c>
      <c r="C12" s="11" t="s">
        <v>63</v>
      </c>
    </row>
    <row r="13" spans="1:3" ht="59.4" x14ac:dyDescent="0.3">
      <c r="A13" s="11" t="s">
        <v>55</v>
      </c>
      <c r="B13" s="3" t="s">
        <v>62</v>
      </c>
      <c r="C13" s="11" t="s">
        <v>65</v>
      </c>
    </row>
    <row r="14" spans="1:3" ht="45.6" x14ac:dyDescent="0.35">
      <c r="A14" s="11" t="s">
        <v>58</v>
      </c>
      <c r="B14" s="3" t="s">
        <v>62</v>
      </c>
      <c r="C14" s="11" t="s">
        <v>64</v>
      </c>
    </row>
    <row r="15" spans="1:3" ht="57.6" x14ac:dyDescent="0.3">
      <c r="A15" s="11" t="s">
        <v>59</v>
      </c>
      <c r="B15" s="3" t="s">
        <v>60</v>
      </c>
      <c r="C15" s="11" t="s">
        <v>61</v>
      </c>
    </row>
    <row r="16" spans="1:3" ht="100.8" x14ac:dyDescent="0.3">
      <c r="A16" s="11" t="s">
        <v>69</v>
      </c>
      <c r="B16" s="3" t="s">
        <v>68</v>
      </c>
      <c r="C16" s="11" t="s">
        <v>67</v>
      </c>
    </row>
    <row r="17" spans="1:3" ht="144" x14ac:dyDescent="0.3">
      <c r="A17" s="11" t="s">
        <v>70</v>
      </c>
      <c r="B17" s="3" t="s">
        <v>68</v>
      </c>
      <c r="C17" s="11" t="s">
        <v>71</v>
      </c>
    </row>
    <row r="18" spans="1:3" ht="158.4" x14ac:dyDescent="0.3">
      <c r="A18" s="11" t="s">
        <v>77</v>
      </c>
      <c r="B18" s="3" t="s">
        <v>76</v>
      </c>
      <c r="C18" s="11" t="s">
        <v>78</v>
      </c>
    </row>
    <row r="19" spans="1:3" ht="28.8" x14ac:dyDescent="0.3">
      <c r="A19" s="11" t="s">
        <v>72</v>
      </c>
      <c r="B19" s="3" t="s">
        <v>73</v>
      </c>
      <c r="C19" s="11" t="s">
        <v>75</v>
      </c>
    </row>
    <row r="20" spans="1:3" ht="17.399999999999999" x14ac:dyDescent="0.3">
      <c r="C20" s="10"/>
    </row>
    <row r="21" spans="1:3" ht="17.399999999999999" x14ac:dyDescent="0.3">
      <c r="C21" s="10"/>
    </row>
    <row r="22" spans="1:3" ht="17.399999999999999" x14ac:dyDescent="0.3">
      <c r="C22" s="10"/>
    </row>
  </sheetData>
  <hyperlinks>
    <hyperlink ref="B2" r:id="rId1" xr:uid="{4C948370-3E7E-43ED-8405-53C04DA76771}"/>
    <hyperlink ref="B11" r:id="rId2" xr:uid="{42719CF5-A908-495E-90C2-6BF363980EB0}"/>
    <hyperlink ref="B5" r:id="rId3" xr:uid="{26F519E5-8266-47FE-81CB-4D84697D224D}"/>
    <hyperlink ref="B7" r:id="rId4" xr:uid="{BE551C8D-071B-477C-9625-914E1B50C180}"/>
    <hyperlink ref="B12" r:id="rId5" xr:uid="{768E141D-8A10-4372-9698-BB09ABB5B76B}"/>
    <hyperlink ref="B13" r:id="rId6" xr:uid="{F0504DD1-7516-4614-B602-729F5C7A4EF1}"/>
    <hyperlink ref="B14" r:id="rId7" xr:uid="{3673954E-5900-4334-A086-3D9E8C102196}"/>
    <hyperlink ref="B15" r:id="rId8" xr:uid="{538B89B3-7D74-4CA2-ABCF-21DA75F55864}"/>
    <hyperlink ref="B19" r:id="rId9" xr:uid="{04267888-7CC0-4593-B402-8D76B336B925}"/>
    <hyperlink ref="B18" r:id="rId10" xr:uid="{61FB12A8-A08C-4DC2-8AE7-69E340081B6D}"/>
    <hyperlink ref="B4" r:id="rId11" display="https://www.citypopulation.de/en/germany/urbanareas/" xr:uid="{178A2080-1762-4F6E-9494-299693925096}"/>
    <hyperlink ref="B8" r:id="rId12" xr:uid="{DD79312B-ACC2-4C3C-82C5-FFE5B6B9514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Emmanuel</dc:creator>
  <cp:lastModifiedBy>Benjamin Emmanuel</cp:lastModifiedBy>
  <dcterms:created xsi:type="dcterms:W3CDTF">2025-04-16T04:14:46Z</dcterms:created>
  <dcterms:modified xsi:type="dcterms:W3CDTF">2025-07-09T01:54:18Z</dcterms:modified>
</cp:coreProperties>
</file>